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imulador" sheetId="1" state="visible" r:id="rId3"/>
    <sheet name="Apoio" sheetId="2" state="visible" r:id="rId4"/>
  </sheets>
  <definedNames>
    <definedName function="false" hidden="false" name="aporte" vbProcedure="false">Simulador!$B$10</definedName>
    <definedName function="false" hidden="false" name="div_mensal" vbProcedure="false">Simulador!$B$12</definedName>
    <definedName function="false" hidden="false" name="perc_sugestao" vbProcedure="false">Simulador!$B$8</definedName>
    <definedName function="false" hidden="false" name="perfil_investidor" vbProcedure="false">Simulador!$B$11</definedName>
    <definedName function="false" hidden="false" name="prazo_anos" vbProcedure="false">Simulador!$B$7</definedName>
    <definedName function="false" hidden="false" name="salario" vbProcedure="false">Simulador!$B$5</definedName>
    <definedName function="false" hidden="false" name="taxa_mensal" vbProcedure="false">Simulador!$B$6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<sst xmlns="http://schemas.openxmlformats.org/spreadsheetml/2006/main" count="70" uniqueCount="34">
  <si>
    <t xml:space="preserve">CENTRAL DE SIMULAÇÃO DE FUNDOS IMOBILIÁRIOS</t>
  </si>
  <si>
    <t xml:space="preserve">1. CONFIGURAÇÕES</t>
  </si>
  <si>
    <t xml:space="preserve">Salário (R$)</t>
  </si>
  <si>
    <t xml:space="preserve">Taxa de rendimento mensal (%)</t>
  </si>
  <si>
    <t xml:space="preserve">Prazo da simulação (anos)</t>
  </si>
  <si>
    <t xml:space="preserve">Percentual sugerido do salário (%)</t>
  </si>
  <si>
    <t xml:space="preserve">Sugestão de aporte (30% do salário)</t>
  </si>
  <si>
    <t xml:space="preserve">Aporte mensal (R$)</t>
  </si>
  <si>
    <t xml:space="preserve">Perfil de investidor</t>
  </si>
  <si>
    <t xml:space="preserve">Moderado</t>
  </si>
  <si>
    <t xml:space="preserve">Rendimento de dividendos mensal (%)</t>
  </si>
  <si>
    <t xml:space="preserve">2. RESULTADOS DA SIMULAÇÃO</t>
  </si>
  <si>
    <t xml:space="preserve">Patrimônio acumulado estimado (R$)</t>
  </si>
  <si>
    <t xml:space="preserve">Dividendos mensais estimados (R$)</t>
  </si>
  <si>
    <t xml:space="preserve">3. DISTRIBUIÇÃO DA CARTEIRA POR TIPO DE FUNDO</t>
  </si>
  <si>
    <t xml:space="preserve">Tipo de Fundo</t>
  </si>
  <si>
    <t xml:space="preserve">% Alocação</t>
  </si>
  <si>
    <t xml:space="preserve">Valor do Aporte (R$)</t>
  </si>
  <si>
    <t xml:space="preserve">Papel</t>
  </si>
  <si>
    <t xml:space="preserve">Lajes Corporativas</t>
  </si>
  <si>
    <t xml:space="preserve">Galpões Logísticos</t>
  </si>
  <si>
    <t xml:space="preserve">Shoppings</t>
  </si>
  <si>
    <t xml:space="preserve">Fiagro</t>
  </si>
  <si>
    <t xml:space="preserve">Fundo de Fundos (FOF)</t>
  </si>
  <si>
    <t xml:space="preserve">4. CENÁRIOS DE LONGO PRAZO</t>
  </si>
  <si>
    <t xml:space="preserve">Prazo (Anos)</t>
  </si>
  <si>
    <t xml:space="preserve">Patrimônio Acumulado (R$)</t>
  </si>
  <si>
    <t xml:space="preserve">Dividendos Mensais (R$)</t>
  </si>
  <si>
    <t xml:space="preserve">Total Aportado (R$)</t>
  </si>
  <si>
    <t xml:space="preserve">TABELA DE APOIO — PERFIS E ALOCAÇÃO DE FIIs</t>
  </si>
  <si>
    <t xml:space="preserve">Chave Composta</t>
  </si>
  <si>
    <t xml:space="preserve">Perfil</t>
  </si>
  <si>
    <t xml:space="preserve">Conservador</t>
  </si>
  <si>
    <t xml:space="preserve">Arrojado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</si>
</sst>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0%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  <fill>
      <patternFill patternType="solid">
        <fgColor rgb="FF2F5597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Alocação do Aporte por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Simulador!$C$19</c:f>
              <c:strCache>
                <c:ptCount val="1"/>
                <c:pt idx="0">
                  <c:v>Valor do Aporte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Simulador!$A$20:$A$25</c:f>
              <c:strCache>
                <c:ptCount val="6"/>
                <c:pt idx="0">
                  <c:v>Papel</c:v>
                </c:pt>
                <c:pt idx="1">
                  <c:v>Lajes Corporativas</c:v>
                </c:pt>
                <c:pt idx="2">
                  <c:v>Galpões Logísticos</c:v>
                </c:pt>
                <c:pt idx="3">
                  <c:v>Shoppings</c:v>
                </c:pt>
                <c:pt idx="4">
                  <c:v>Fiagro</c:v>
                </c:pt>
                <c:pt idx="5">
                  <c:v>Fundo de Fundos (FOF)</c:v>
                </c:pt>
              </c:strCache>
            </c:strRef>
          </c:cat>
          <c:val>
            <c:numRef>
              <c:f>Simulador!$C$20:$C$25</c:f>
              <c:numCache>
                <c:formatCode>"R$ "#,##0.00</c:formatCode>
                <c:ptCount val="6"/>
                <c:pt idx="0">
                  <c:v>375</c:v>
                </c:pt>
                <c:pt idx="1">
                  <c:v>300</c:v>
                </c:pt>
                <c:pt idx="2">
                  <c:v>300</c:v>
                </c:pt>
                <c:pt idx="3">
                  <c:v>225</c:v>
                </c:pt>
                <c:pt idx="4">
                  <c:v>150</c:v>
                </c:pt>
                <c:pt idx="5">
                  <c:v>150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255600</xdr:colOff>
      <xdr:row>23</xdr:row>
      <xdr:rowOff>149400</xdr:rowOff>
    </xdr:to>
    <xdr:graphicFrame>
      <xdr:nvGraphicFramePr>
        <xdr:cNvPr id="0" name="Chart 1"/>
        <xdr:cNvGraphicFramePr/>
      </xdr:nvGraphicFramePr>
      <xdr:xfrm>
        <a:off x="8669520" y="571680"/>
        <a:ext cx="575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8"/>
    <col collapsed="false" customWidth="true" hidden="false" outlineLevel="0" max="4" min="4" style="1" width="25"/>
  </cols>
  <sheetData>
    <row r="1" customFormat="false" ht="1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2"/>
      <c r="B2" s="2"/>
      <c r="C2" s="2"/>
    </row>
    <row r="4" customFormat="false" ht="15" hidden="false" customHeight="true" outlineLevel="0" collapsed="false">
      <c r="A4" s="3" t="s">
        <v>1</v>
      </c>
    </row>
    <row r="5" customFormat="false" ht="15" hidden="false" customHeight="true" outlineLevel="0" collapsed="false">
      <c r="A5" s="4" t="s">
        <v>2</v>
      </c>
      <c r="B5" s="5" t="n">
        <v>5000</v>
      </c>
    </row>
    <row r="6" customFormat="false" ht="15" hidden="false" customHeight="true" outlineLevel="0" collapsed="false">
      <c r="A6" s="4" t="s">
        <v>3</v>
      </c>
      <c r="B6" s="6" t="n">
        <v>0.008</v>
      </c>
    </row>
    <row r="7" customFormat="false" ht="15" hidden="false" customHeight="true" outlineLevel="0" collapsed="false">
      <c r="A7" s="4" t="s">
        <v>4</v>
      </c>
      <c r="B7" s="7" t="n">
        <v>10</v>
      </c>
    </row>
    <row r="8" customFormat="false" ht="15" hidden="false" customHeight="true" outlineLevel="0" collapsed="false">
      <c r="A8" s="4" t="s">
        <v>5</v>
      </c>
      <c r="B8" s="6" t="n">
        <v>0.3</v>
      </c>
    </row>
    <row r="9" customFormat="false" ht="15" hidden="false" customHeight="true" outlineLevel="0" collapsed="false">
      <c r="A9" s="4" t="s">
        <v>6</v>
      </c>
      <c r="B9" s="8" t="n">
        <f aca="false">salario*perc_sugestao</f>
        <v>1500</v>
      </c>
    </row>
    <row r="10" customFormat="false" ht="15" hidden="false" customHeight="true" outlineLevel="0" collapsed="false">
      <c r="A10" s="4" t="s">
        <v>7</v>
      </c>
      <c r="B10" s="5" t="n">
        <v>1500</v>
      </c>
    </row>
    <row r="11" customFormat="false" ht="15" hidden="false" customHeight="true" outlineLevel="0" collapsed="false">
      <c r="A11" s="4" t="s">
        <v>8</v>
      </c>
      <c r="B11" s="9" t="s">
        <v>9</v>
      </c>
    </row>
    <row r="12" customFormat="false" ht="15" hidden="false" customHeight="true" outlineLevel="0" collapsed="false">
      <c r="A12" s="4" t="s">
        <v>10</v>
      </c>
      <c r="B12" s="6" t="n">
        <v>0.006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4" t="s">
        <v>12</v>
      </c>
      <c r="B15" s="8" t="n">
        <f aca="false">FV(taxa_mensal, prazo_anos*12, -aporte, 0, 0)</f>
        <v>300326.204114875</v>
      </c>
    </row>
    <row r="16" customFormat="false" ht="15" hidden="false" customHeight="true" outlineLevel="0" collapsed="false">
      <c r="A16" s="4" t="s">
        <v>13</v>
      </c>
      <c r="B16" s="8" t="n">
        <f aca="false">B15*div_mensal</f>
        <v>1801.95722468925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10" t="s">
        <v>15</v>
      </c>
      <c r="B19" s="10" t="s">
        <v>16</v>
      </c>
      <c r="C19" s="10" t="s">
        <v>17</v>
      </c>
    </row>
    <row r="20" customFormat="false" ht="15" hidden="false" customHeight="true" outlineLevel="0" collapsed="false">
      <c r="A20" s="11" t="s">
        <v>18</v>
      </c>
      <c r="B20" s="12" t="n">
        <f aca="false">VLOOKUP(perfil_investidor&amp;A20, Apoio!$A$3:$D$20, 4, FALSE())</f>
        <v>0.25</v>
      </c>
      <c r="C20" s="8" t="n">
        <f aca="false">B20*aporte</f>
        <v>375</v>
      </c>
    </row>
    <row r="21" customFormat="false" ht="15" hidden="false" customHeight="true" outlineLevel="0" collapsed="false">
      <c r="A21" s="11" t="s">
        <v>19</v>
      </c>
      <c r="B21" s="12" t="n">
        <f aca="false">VLOOKUP(perfil_investidor&amp;A21, Apoio!$A$3:$D$20, 4, FALSE())</f>
        <v>0.2</v>
      </c>
      <c r="C21" s="8" t="n">
        <f aca="false">B21*aporte</f>
        <v>300</v>
      </c>
    </row>
    <row r="22" customFormat="false" ht="15" hidden="false" customHeight="true" outlineLevel="0" collapsed="false">
      <c r="A22" s="11" t="s">
        <v>20</v>
      </c>
      <c r="B22" s="12" t="n">
        <f aca="false">VLOOKUP(perfil_investidor&amp;A22, Apoio!$A$3:$D$20, 4, FALSE())</f>
        <v>0.2</v>
      </c>
      <c r="C22" s="8" t="n">
        <f aca="false">B22*aporte</f>
        <v>300</v>
      </c>
    </row>
    <row r="23" customFormat="false" ht="15" hidden="false" customHeight="true" outlineLevel="0" collapsed="false">
      <c r="A23" s="11" t="s">
        <v>21</v>
      </c>
      <c r="B23" s="12" t="n">
        <f aca="false">VLOOKUP(perfil_investidor&amp;A23, Apoio!$A$3:$D$20, 4, FALSE())</f>
        <v>0.15</v>
      </c>
      <c r="C23" s="8" t="n">
        <f aca="false">B23*aporte</f>
        <v>225</v>
      </c>
    </row>
    <row r="24" customFormat="false" ht="15" hidden="false" customHeight="true" outlineLevel="0" collapsed="false">
      <c r="A24" s="11" t="s">
        <v>22</v>
      </c>
      <c r="B24" s="12" t="n">
        <f aca="false">VLOOKUP(perfil_investidor&amp;A24, Apoio!$A$3:$D$20, 4, FALSE())</f>
        <v>0.1</v>
      </c>
      <c r="C24" s="8" t="n">
        <f aca="false">B24*aporte</f>
        <v>150</v>
      </c>
    </row>
    <row r="25" customFormat="false" ht="15" hidden="false" customHeight="true" outlineLevel="0" collapsed="false">
      <c r="A25" s="11" t="s">
        <v>23</v>
      </c>
      <c r="B25" s="12" t="n">
        <f aca="false">VLOOKUP(perfil_investidor&amp;A25, Apoio!$A$3:$D$20, 4, FALSE())</f>
        <v>0.1</v>
      </c>
      <c r="C25" s="8" t="n">
        <f aca="false">B25*aporte</f>
        <v>150</v>
      </c>
    </row>
    <row r="27" customFormat="false" ht="15" hidden="false" customHeight="true" outlineLevel="0" collapsed="false">
      <c r="A27" s="3" t="s">
        <v>24</v>
      </c>
    </row>
    <row r="28" customFormat="false" ht="15" hidden="false" customHeight="true" outlineLevel="0" collapsed="false">
      <c r="A28" s="10" t="s">
        <v>25</v>
      </c>
      <c r="B28" s="10" t="s">
        <v>26</v>
      </c>
      <c r="C28" s="10" t="s">
        <v>27</v>
      </c>
      <c r="D28" s="10" t="s">
        <v>28</v>
      </c>
    </row>
    <row r="29" customFormat="false" ht="15" hidden="false" customHeight="true" outlineLevel="0" collapsed="false">
      <c r="A29" s="13" t="n">
        <v>2</v>
      </c>
      <c r="B29" s="8" t="n">
        <f aca="false">FV(taxa_mensal, $A29*12, -aporte, 0, 0)</f>
        <v>39514.7326666791</v>
      </c>
      <c r="C29" s="8" t="n">
        <f aca="false">B29*div_mensal</f>
        <v>237.088396000075</v>
      </c>
      <c r="D29" s="8" t="n">
        <f aca="false">aporte*($A29*12)</f>
        <v>36000</v>
      </c>
    </row>
    <row r="30" customFormat="false" ht="15" hidden="false" customHeight="true" outlineLevel="0" collapsed="false">
      <c r="A30" s="13" t="n">
        <v>5</v>
      </c>
      <c r="B30" s="8" t="n">
        <f aca="false">FV(taxa_mensal, $A30*12, -aporte, 0, 0)</f>
        <v>114935.80024782</v>
      </c>
      <c r="C30" s="8" t="n">
        <f aca="false">B30*div_mensal</f>
        <v>689.614801486918</v>
      </c>
      <c r="D30" s="8" t="n">
        <f aca="false">aporte*($A30*12)</f>
        <v>90000</v>
      </c>
    </row>
    <row r="31" customFormat="false" ht="15" hidden="false" customHeight="true" outlineLevel="0" collapsed="false">
      <c r="A31" s="13" t="n">
        <v>10</v>
      </c>
      <c r="B31" s="8" t="n">
        <f aca="false">FV(taxa_mensal, $A31*12, -aporte, 0, 0)</f>
        <v>300326.204114875</v>
      </c>
      <c r="C31" s="8" t="n">
        <f aca="false">B31*div_mensal</f>
        <v>1801.95722468925</v>
      </c>
      <c r="D31" s="8" t="n">
        <f aca="false">aporte*($A31*12)</f>
        <v>180000</v>
      </c>
    </row>
    <row r="32" customFormat="false" ht="15" hidden="false" customHeight="true" outlineLevel="0" collapsed="false">
      <c r="A32" s="13" t="n">
        <v>20</v>
      </c>
      <c r="B32" s="8" t="n">
        <f aca="false">FV(taxa_mensal, $A32*12, -aporte, 0, 0)</f>
        <v>1081696.82891268</v>
      </c>
      <c r="C32" s="8" t="n">
        <f aca="false">B32*div_mensal</f>
        <v>6490.18097347609</v>
      </c>
      <c r="D32" s="8" t="n">
        <f aca="false">aporte*($A32*12)</f>
        <v>360000</v>
      </c>
    </row>
    <row r="33" customFormat="false" ht="15" hidden="false" customHeight="true" outlineLevel="0" collapsed="false">
      <c r="A33" s="13" t="n">
        <v>30</v>
      </c>
      <c r="B33" s="8" t="n">
        <f aca="false">FV(taxa_mensal, $A33*12, -aporte, 0, 0)</f>
        <v>3114619.84705659</v>
      </c>
      <c r="C33" s="8" t="n">
        <f aca="false">B33*div_mensal</f>
        <v>18687.7190823395</v>
      </c>
      <c r="D33" s="8" t="n">
        <f aca="false">aporte*($A33*12)</f>
        <v>540000</v>
      </c>
    </row>
  </sheetData>
  <mergeCells count="1">
    <mergeCell ref="A1:C2"/>
  </mergeCells>
  <dataValidations count="1">
    <dataValidation allowBlank="true" errorStyle="stop" operator="between" showDropDown="false" showErrorMessage="false" showInputMessage="false" sqref="B11" type="list">
      <formula1>"Conservador,Moderado,Arrojado"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25"/>
    <col collapsed="false" customWidth="true" hidden="false" outlineLevel="0" max="4" min="4" style="1" width="15"/>
  </cols>
  <sheetData>
    <row r="1" customFormat="false" ht="17.25" hidden="false" customHeight="true" outlineLevel="0" collapsed="false">
      <c r="A1" s="2" t="s">
        <v>29</v>
      </c>
      <c r="B1" s="2"/>
      <c r="C1" s="2"/>
      <c r="D1" s="2"/>
    </row>
    <row r="2" customFormat="false" ht="15" hidden="false" customHeight="true" outlineLevel="0" collapsed="false">
      <c r="A2" s="10" t="s">
        <v>30</v>
      </c>
      <c r="B2" s="10" t="s">
        <v>31</v>
      </c>
      <c r="C2" s="10" t="s">
        <v>15</v>
      </c>
      <c r="D2" s="10" t="s">
        <v>16</v>
      </c>
    </row>
    <row r="3" customFormat="false" ht="15" hidden="false" customHeight="true" outlineLevel="0" collapsed="false">
      <c r="A3" s="8" t="str">
        <f aca="false">B3&amp;C3</f>
        <v>ConservadorPapel</v>
      </c>
      <c r="B3" s="14" t="s">
        <v>32</v>
      </c>
      <c r="C3" s="14" t="s">
        <v>18</v>
      </c>
      <c r="D3" s="15" t="n">
        <v>0.4</v>
      </c>
    </row>
    <row r="4" customFormat="false" ht="15" hidden="false" customHeight="true" outlineLevel="0" collapsed="false">
      <c r="A4" s="8" t="str">
        <f aca="false">B4&amp;C4</f>
        <v>ConservadorLajes Corporativas</v>
      </c>
      <c r="B4" s="14" t="s">
        <v>32</v>
      </c>
      <c r="C4" s="14" t="s">
        <v>19</v>
      </c>
      <c r="D4" s="15" t="n">
        <v>0.2</v>
      </c>
    </row>
    <row r="5" customFormat="false" ht="15" hidden="false" customHeight="true" outlineLevel="0" collapsed="false">
      <c r="A5" s="8" t="str">
        <f aca="false">B5&amp;C5</f>
        <v>ConservadorGalpões Logísticos</v>
      </c>
      <c r="B5" s="14" t="s">
        <v>32</v>
      </c>
      <c r="C5" s="14" t="s">
        <v>20</v>
      </c>
      <c r="D5" s="15" t="n">
        <v>0.15</v>
      </c>
    </row>
    <row r="6" customFormat="false" ht="15" hidden="false" customHeight="true" outlineLevel="0" collapsed="false">
      <c r="A6" s="8" t="str">
        <f aca="false">B6&amp;C6</f>
        <v>ConservadorShoppings</v>
      </c>
      <c r="B6" s="14" t="s">
        <v>32</v>
      </c>
      <c r="C6" s="14" t="s">
        <v>21</v>
      </c>
      <c r="D6" s="15" t="n">
        <v>0.1</v>
      </c>
    </row>
    <row r="7" customFormat="false" ht="15" hidden="false" customHeight="true" outlineLevel="0" collapsed="false">
      <c r="A7" s="8" t="str">
        <f aca="false">B7&amp;C7</f>
        <v>ConservadorFiagro</v>
      </c>
      <c r="B7" s="14" t="s">
        <v>32</v>
      </c>
      <c r="C7" s="14" t="s">
        <v>22</v>
      </c>
      <c r="D7" s="15" t="n">
        <v>0.05</v>
      </c>
    </row>
    <row r="8" customFormat="false" ht="15" hidden="false" customHeight="true" outlineLevel="0" collapsed="false">
      <c r="A8" s="8" t="str">
        <f aca="false">B8&amp;C8</f>
        <v>ConservadorFundo de Fundos (FOF)</v>
      </c>
      <c r="B8" s="14" t="s">
        <v>32</v>
      </c>
      <c r="C8" s="14" t="s">
        <v>23</v>
      </c>
      <c r="D8" s="15" t="n">
        <v>0.1</v>
      </c>
    </row>
    <row r="9" customFormat="false" ht="15" hidden="false" customHeight="true" outlineLevel="0" collapsed="false">
      <c r="A9" s="8" t="str">
        <f aca="false">B9&amp;C9</f>
        <v>ModeradoPapel</v>
      </c>
      <c r="B9" s="14" t="s">
        <v>9</v>
      </c>
      <c r="C9" s="14" t="s">
        <v>18</v>
      </c>
      <c r="D9" s="15" t="n">
        <v>0.25</v>
      </c>
    </row>
    <row r="10" customFormat="false" ht="15" hidden="false" customHeight="true" outlineLevel="0" collapsed="false">
      <c r="A10" s="8" t="str">
        <f aca="false">B10&amp;C10</f>
        <v>ModeradoLajes Corporativas</v>
      </c>
      <c r="B10" s="14" t="s">
        <v>9</v>
      </c>
      <c r="C10" s="14" t="s">
        <v>19</v>
      </c>
      <c r="D10" s="15" t="n">
        <v>0.2</v>
      </c>
    </row>
    <row r="11" customFormat="false" ht="15" hidden="false" customHeight="true" outlineLevel="0" collapsed="false">
      <c r="A11" s="8" t="str">
        <f aca="false">B11&amp;C11</f>
        <v>ModeradoGalpões Logísticos</v>
      </c>
      <c r="B11" s="14" t="s">
        <v>9</v>
      </c>
      <c r="C11" s="14" t="s">
        <v>20</v>
      </c>
      <c r="D11" s="15" t="n">
        <v>0.2</v>
      </c>
    </row>
    <row r="12" customFormat="false" ht="15" hidden="false" customHeight="true" outlineLevel="0" collapsed="false">
      <c r="A12" s="8" t="str">
        <f aca="false">B12&amp;C12</f>
        <v>ModeradoShoppings</v>
      </c>
      <c r="B12" s="14" t="s">
        <v>9</v>
      </c>
      <c r="C12" s="14" t="s">
        <v>21</v>
      </c>
      <c r="D12" s="15" t="n">
        <v>0.15</v>
      </c>
    </row>
    <row r="13" customFormat="false" ht="15" hidden="false" customHeight="true" outlineLevel="0" collapsed="false">
      <c r="A13" s="8" t="str">
        <f aca="false">B13&amp;C13</f>
        <v>ModeradoFiagro</v>
      </c>
      <c r="B13" s="14" t="s">
        <v>9</v>
      </c>
      <c r="C13" s="14" t="s">
        <v>22</v>
      </c>
      <c r="D13" s="15" t="n">
        <v>0.1</v>
      </c>
    </row>
    <row r="14" customFormat="false" ht="15" hidden="false" customHeight="true" outlineLevel="0" collapsed="false">
      <c r="A14" s="8" t="str">
        <f aca="false">B14&amp;C14</f>
        <v>ModeradoFundo de Fundos (FOF)</v>
      </c>
      <c r="B14" s="14" t="s">
        <v>9</v>
      </c>
      <c r="C14" s="14" t="s">
        <v>23</v>
      </c>
      <c r="D14" s="15" t="n">
        <v>0.1</v>
      </c>
    </row>
    <row r="15" customFormat="false" ht="15" hidden="false" customHeight="true" outlineLevel="0" collapsed="false">
      <c r="A15" s="8" t="str">
        <f aca="false">B15&amp;C15</f>
        <v>ArrojadoPapel</v>
      </c>
      <c r="B15" s="14" t="s">
        <v>33</v>
      </c>
      <c r="C15" s="14" t="s">
        <v>18</v>
      </c>
      <c r="D15" s="15" t="n">
        <v>0.15</v>
      </c>
    </row>
    <row r="16" customFormat="false" ht="15" hidden="false" customHeight="true" outlineLevel="0" collapsed="false">
      <c r="A16" s="8" t="str">
        <f aca="false">B16&amp;C16</f>
        <v>ArrojadoLajes Corporativas</v>
      </c>
      <c r="B16" s="14" t="s">
        <v>33</v>
      </c>
      <c r="C16" s="14" t="s">
        <v>19</v>
      </c>
      <c r="D16" s="15" t="n">
        <v>0.15</v>
      </c>
    </row>
    <row r="17" customFormat="false" ht="15" hidden="false" customHeight="true" outlineLevel="0" collapsed="false">
      <c r="A17" s="8" t="str">
        <f aca="false">B17&amp;C17</f>
        <v>ArrojadoGalpões Logísticos</v>
      </c>
      <c r="B17" s="14" t="s">
        <v>33</v>
      </c>
      <c r="C17" s="14" t="s">
        <v>20</v>
      </c>
      <c r="D17" s="15" t="n">
        <v>0.2</v>
      </c>
    </row>
    <row r="18" customFormat="false" ht="15" hidden="false" customHeight="true" outlineLevel="0" collapsed="false">
      <c r="A18" s="8" t="str">
        <f aca="false">B18&amp;C18</f>
        <v>ArrojadoShoppings</v>
      </c>
      <c r="B18" s="14" t="s">
        <v>33</v>
      </c>
      <c r="C18" s="14" t="s">
        <v>21</v>
      </c>
      <c r="D18" s="15" t="n">
        <v>0.2</v>
      </c>
    </row>
    <row r="19" customFormat="false" ht="15" hidden="false" customHeight="true" outlineLevel="0" collapsed="false">
      <c r="A19" s="8" t="str">
        <f aca="false">B19&amp;C19</f>
        <v>ArrojadoFiagro</v>
      </c>
      <c r="B19" s="14" t="s">
        <v>33</v>
      </c>
      <c r="C19" s="14" t="s">
        <v>22</v>
      </c>
      <c r="D19" s="15" t="n">
        <v>0.15</v>
      </c>
    </row>
    <row r="20" customFormat="false" ht="15" hidden="false" customHeight="true" outlineLevel="0" collapsed="false">
      <c r="A20" s="8" t="str">
        <f aca="false">B20&amp;C20</f>
        <v>ArrojadoFundo de Fundos (FOF)</v>
      </c>
      <c r="B20" s="14" t="s">
        <v>33</v>
      </c>
      <c r="C20" s="14" t="s">
        <v>23</v>
      </c>
      <c r="D20" s="15" t="n">
        <v>0.15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2026-10-14T20:34:39Z</dcterms:created>
  <dc:creator>openpyxl</dc:creator>
  <dc:description/>
  <dc:language>en-US</dc:language>
  <cp:lastModifiedBy/>
  <dcterms:modified xsi:type="dcterms:W3CDTF">2026-10-14T21:14:27Z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